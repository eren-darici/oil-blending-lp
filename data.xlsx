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mich-my.sharepoint.com/personal/jzg3366_wmich_edu/Documents/SCHOOL/Spring26/Student/MATH6080/project/"/>
    </mc:Choice>
  </mc:AlternateContent>
  <xr:revisionPtr revIDLastSave="87" documentId="8_{747D1302-0736-47AF-B595-56D5E8A5B10A}" xr6:coauthVersionLast="47" xr6:coauthVersionMax="47" xr10:uidLastSave="{6CFEBA4B-05F5-4FE7-9507-015FF1FBB8EE}"/>
  <bookViews>
    <workbookView xWindow="-108" yWindow="-108" windowWidth="23256" windowHeight="12456" xr2:uid="{2254029F-E0B5-4417-8020-BFAA0FA8C3BE}"/>
  </bookViews>
  <sheets>
    <sheet name="master_data" sheetId="1" r:id="rId1"/>
    <sheet name="price_data" sheetId="2" r:id="rId2"/>
    <sheet name="indexed_price_data" sheetId="4" r:id="rId3"/>
    <sheet name="indexed_data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D11" i="1" l="1"/>
  <c r="AD10" i="1"/>
  <c r="AD9" i="1"/>
  <c r="AD8" i="1"/>
  <c r="AD7" i="1"/>
  <c r="AD6" i="1"/>
  <c r="AD5" i="1"/>
  <c r="AD4" i="1"/>
  <c r="AD3" i="1"/>
  <c r="AD2" i="1"/>
  <c r="AD3" i="3"/>
  <c r="AD4" i="3"/>
  <c r="AD5" i="3"/>
  <c r="AD6" i="3"/>
  <c r="AD7" i="3"/>
  <c r="AD8" i="3"/>
  <c r="AD9" i="3"/>
  <c r="AD10" i="3"/>
  <c r="AD11" i="3"/>
  <c r="AD2" i="3"/>
  <c r="AC2" i="3"/>
  <c r="AC11" i="1"/>
  <c r="AB11" i="1"/>
  <c r="AC10" i="1"/>
  <c r="AB10" i="1"/>
  <c r="AC9" i="1"/>
  <c r="AB9" i="1"/>
  <c r="AC8" i="1"/>
  <c r="AB8" i="1"/>
  <c r="AC7" i="1"/>
  <c r="AB7" i="1"/>
  <c r="AC6" i="1"/>
  <c r="AB6" i="1"/>
  <c r="AC5" i="1"/>
  <c r="AB5" i="1"/>
  <c r="AC4" i="1"/>
  <c r="AB4" i="1"/>
  <c r="AC3" i="1"/>
  <c r="AB3" i="1"/>
  <c r="AC2" i="1"/>
  <c r="AB2" i="1"/>
  <c r="AC3" i="3"/>
  <c r="AC4" i="3"/>
  <c r="AC5" i="3"/>
  <c r="AC6" i="3"/>
  <c r="AC7" i="3"/>
  <c r="AC8" i="3"/>
  <c r="AC9" i="3"/>
  <c r="AC10" i="3"/>
  <c r="AC11" i="3"/>
  <c r="AB3" i="3"/>
  <c r="AB4" i="3"/>
  <c r="AB5" i="3"/>
  <c r="AB6" i="3"/>
  <c r="AB7" i="3"/>
  <c r="AB8" i="3"/>
  <c r="AB9" i="3"/>
  <c r="AB10" i="3"/>
  <c r="AB11" i="3"/>
  <c r="AB2" i="3"/>
</calcChain>
</file>

<file path=xl/sharedStrings.xml><?xml version="1.0" encoding="utf-8"?>
<sst xmlns="http://schemas.openxmlformats.org/spreadsheetml/2006/main" count="100" uniqueCount="75">
  <si>
    <t>Price</t>
  </si>
  <si>
    <t>L</t>
  </si>
  <si>
    <t>M</t>
  </si>
  <si>
    <t>Gu</t>
  </si>
  <si>
    <t>K</t>
  </si>
  <si>
    <t>Q</t>
  </si>
  <si>
    <t>B</t>
  </si>
  <si>
    <t>Cond.</t>
  </si>
  <si>
    <t>Oil</t>
  </si>
  <si>
    <t>Availability</t>
  </si>
  <si>
    <t>Conversion</t>
  </si>
  <si>
    <t>SpecificGravity</t>
  </si>
  <si>
    <t>Salt_ppm</t>
  </si>
  <si>
    <t>Sulfur_SUi</t>
  </si>
  <si>
    <t>Wax_Wi</t>
  </si>
  <si>
    <t>Acidity</t>
  </si>
  <si>
    <t>CCR</t>
  </si>
  <si>
    <t>Viscosity</t>
  </si>
  <si>
    <t>LPG</t>
  </si>
  <si>
    <t>Naphtha</t>
  </si>
  <si>
    <t>Kerosene</t>
  </si>
  <si>
    <t>GasOil</t>
  </si>
  <si>
    <t>FuelOil</t>
  </si>
  <si>
    <t>Saturates</t>
  </si>
  <si>
    <t>Aromatics</t>
  </si>
  <si>
    <t>Resins</t>
  </si>
  <si>
    <t>Asphaltenes</t>
  </si>
  <si>
    <t>SUF</t>
  </si>
  <si>
    <t>WF</t>
  </si>
  <si>
    <t>ASF</t>
  </si>
  <si>
    <t>Vanadium</t>
  </si>
  <si>
    <t>Nickel</t>
  </si>
  <si>
    <t>W.D</t>
  </si>
  <si>
    <t>A.L</t>
  </si>
  <si>
    <t>L.G</t>
  </si>
  <si>
    <t>Yield</t>
  </si>
  <si>
    <t>naptha</t>
  </si>
  <si>
    <t>gasoline80</t>
  </si>
  <si>
    <t>gasoline95</t>
  </si>
  <si>
    <t>kerosene</t>
  </si>
  <si>
    <t>gas_oil</t>
  </si>
  <si>
    <t>fuel_oil</t>
  </si>
  <si>
    <t>gasoline92</t>
  </si>
  <si>
    <t>Pi</t>
  </si>
  <si>
    <t>Ti</t>
  </si>
  <si>
    <t>Ci</t>
  </si>
  <si>
    <t>gi</t>
  </si>
  <si>
    <t>Si</t>
  </si>
  <si>
    <t>SUi</t>
  </si>
  <si>
    <t>Wi</t>
  </si>
  <si>
    <t>Ai</t>
  </si>
  <si>
    <t>CCRi</t>
  </si>
  <si>
    <t>mui</t>
  </si>
  <si>
    <t>Li</t>
  </si>
  <si>
    <t>NAi</t>
  </si>
  <si>
    <t>Ki</t>
  </si>
  <si>
    <t>Gi</t>
  </si>
  <si>
    <t>Fi</t>
  </si>
  <si>
    <t>SARA_Pi</t>
  </si>
  <si>
    <t>SARA_ARi</t>
  </si>
  <si>
    <t>SARA_Ri</t>
  </si>
  <si>
    <t>SARA_ASi</t>
  </si>
  <si>
    <t>SUFi</t>
  </si>
  <si>
    <t>WFi</t>
  </si>
  <si>
    <t>ASFi</t>
  </si>
  <si>
    <t>Vni</t>
  </si>
  <si>
    <t>Ni</t>
  </si>
  <si>
    <t>CostOfTransportation</t>
  </si>
  <si>
    <t>CostOfUtility</t>
  </si>
  <si>
    <t>CUi</t>
  </si>
  <si>
    <t>CTi</t>
  </si>
  <si>
    <t>API</t>
  </si>
  <si>
    <t>F</t>
  </si>
  <si>
    <t>VI</t>
  </si>
  <si>
    <t>ViscosityIndex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</si>
</sst>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36FF0-1F5E-47A2-9D28-E41766DEB9D4}">
  <dimension ref="A1:AD11"/>
  <sheetViews>
    <sheetView tabSelected="1" topLeftCell="K1" workbookViewId="0">
      <selection activeCell="AD2" sqref="AD2"/>
    </sheetView>
  </sheetViews>
  <sheetFormatPr defaultRowHeight="14.4" x14ac:dyDescent="0.3"/>
  <cols>
    <col min="26" max="26" width="19" bestFit="1" customWidth="1"/>
  </cols>
  <sheetData>
    <row r="1" spans="1:30" x14ac:dyDescent="0.3">
      <c r="A1" t="s">
        <v>8</v>
      </c>
      <c r="B1" t="s">
        <v>0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67</v>
      </c>
      <c r="AA1" t="s">
        <v>68</v>
      </c>
      <c r="AB1" t="s">
        <v>71</v>
      </c>
      <c r="AC1" t="s">
        <v>72</v>
      </c>
      <c r="AD1" t="s">
        <v>74</v>
      </c>
    </row>
    <row r="2" spans="1:30" x14ac:dyDescent="0.3">
      <c r="A2" t="s">
        <v>1</v>
      </c>
      <c r="B2">
        <v>58.857999999999997</v>
      </c>
      <c r="C2">
        <v>3700</v>
      </c>
      <c r="D2">
        <v>6.8</v>
      </c>
      <c r="E2">
        <v>0.92500000000000004</v>
      </c>
      <c r="F2">
        <v>42</v>
      </c>
      <c r="G2">
        <v>2.85</v>
      </c>
      <c r="H2">
        <v>3.72</v>
      </c>
      <c r="I2">
        <v>13</v>
      </c>
      <c r="J2">
        <v>11.8</v>
      </c>
      <c r="K2">
        <v>121</v>
      </c>
      <c r="L2">
        <v>0.5</v>
      </c>
      <c r="M2">
        <v>8</v>
      </c>
      <c r="N2">
        <v>9</v>
      </c>
      <c r="O2">
        <v>10</v>
      </c>
      <c r="P2">
        <v>72</v>
      </c>
      <c r="Q2">
        <v>30.9</v>
      </c>
      <c r="R2">
        <v>37.9</v>
      </c>
      <c r="S2">
        <v>22.6</v>
      </c>
      <c r="T2">
        <v>8.6</v>
      </c>
      <c r="U2">
        <v>3.77</v>
      </c>
      <c r="V2">
        <v>3.77</v>
      </c>
      <c r="W2">
        <v>14.7</v>
      </c>
      <c r="X2">
        <v>152</v>
      </c>
      <c r="Y2">
        <v>131</v>
      </c>
      <c r="Z2">
        <v>0.5</v>
      </c>
      <c r="AA2">
        <v>2</v>
      </c>
      <c r="AB2">
        <f>(141.5/E2)-131.5</f>
        <v>21.472972972972968</v>
      </c>
      <c r="AC2">
        <f>1000/(159*E2)</f>
        <v>6.7992520822709492</v>
      </c>
      <c r="AD2">
        <f>LN(LN(K2+0.8))</f>
        <v>1.5691117023415568</v>
      </c>
    </row>
    <row r="3" spans="1:30" x14ac:dyDescent="0.3">
      <c r="A3" t="s">
        <v>2</v>
      </c>
      <c r="B3">
        <v>61.865000000000002</v>
      </c>
      <c r="C3">
        <v>3800</v>
      </c>
      <c r="D3">
        <v>7.16</v>
      </c>
      <c r="E3">
        <v>0.878</v>
      </c>
      <c r="F3">
        <v>33</v>
      </c>
      <c r="G3">
        <v>2</v>
      </c>
      <c r="H3">
        <v>2.92</v>
      </c>
      <c r="I3">
        <v>5.7</v>
      </c>
      <c r="J3">
        <v>6.24</v>
      </c>
      <c r="K3">
        <v>35</v>
      </c>
      <c r="L3">
        <v>1.2</v>
      </c>
      <c r="M3">
        <v>12.3</v>
      </c>
      <c r="N3">
        <v>8</v>
      </c>
      <c r="O3">
        <v>11</v>
      </c>
      <c r="P3">
        <v>67</v>
      </c>
      <c r="Q3">
        <v>36.700000000000003</v>
      </c>
      <c r="R3">
        <v>47.5</v>
      </c>
      <c r="S3">
        <v>12.2</v>
      </c>
      <c r="T3">
        <v>3.6</v>
      </c>
      <c r="U3">
        <v>3.1</v>
      </c>
      <c r="V3">
        <v>3.9</v>
      </c>
      <c r="W3">
        <v>4.9000000000000004</v>
      </c>
      <c r="X3">
        <v>100</v>
      </c>
      <c r="Y3">
        <v>73</v>
      </c>
      <c r="Z3">
        <v>0.5</v>
      </c>
      <c r="AA3">
        <v>2</v>
      </c>
      <c r="AB3">
        <f t="shared" ref="AB3:AB11" si="0">(141.5/E3)-131.5</f>
        <v>29.661731207289307</v>
      </c>
      <c r="AC3">
        <f t="shared" ref="AC3:AC11" si="1">1000/(159*E3)</f>
        <v>7.1632211572900104</v>
      </c>
      <c r="AD3">
        <f t="shared" ref="AD3:AD11" si="2">LN(LN(K3+0.8))</f>
        <v>1.2747894219303606</v>
      </c>
    </row>
    <row r="4" spans="1:30" x14ac:dyDescent="0.3">
      <c r="A4" t="s">
        <v>3</v>
      </c>
      <c r="B4">
        <v>60.914000000000001</v>
      </c>
      <c r="C4">
        <v>11300</v>
      </c>
      <c r="D4">
        <v>7.22</v>
      </c>
      <c r="E4">
        <v>0.871</v>
      </c>
      <c r="F4">
        <v>28</v>
      </c>
      <c r="G4">
        <v>1.61</v>
      </c>
      <c r="H4">
        <v>3.8</v>
      </c>
      <c r="I4">
        <v>7</v>
      </c>
      <c r="J4">
        <v>5.2</v>
      </c>
      <c r="K4">
        <v>30</v>
      </c>
      <c r="L4">
        <v>0.9</v>
      </c>
      <c r="M4">
        <v>15.5</v>
      </c>
      <c r="N4">
        <v>9</v>
      </c>
      <c r="O4">
        <v>13.1</v>
      </c>
      <c r="P4">
        <v>61</v>
      </c>
      <c r="Q4">
        <v>39.299999999999997</v>
      </c>
      <c r="R4">
        <v>50.2</v>
      </c>
      <c r="S4">
        <v>8.4</v>
      </c>
      <c r="T4">
        <v>2.1</v>
      </c>
      <c r="U4">
        <v>2.4</v>
      </c>
      <c r="V4">
        <v>4.8</v>
      </c>
      <c r="W4">
        <v>2.9</v>
      </c>
      <c r="X4">
        <v>76</v>
      </c>
      <c r="Y4">
        <v>40</v>
      </c>
      <c r="Z4">
        <v>0.5</v>
      </c>
      <c r="AA4">
        <v>2</v>
      </c>
      <c r="AB4">
        <f t="shared" si="0"/>
        <v>30.956946039035586</v>
      </c>
      <c r="AC4">
        <f t="shared" si="1"/>
        <v>7.2207900988526159</v>
      </c>
      <c r="AD4">
        <f t="shared" si="2"/>
        <v>1.2318354183618594</v>
      </c>
    </row>
    <row r="5" spans="1:30" x14ac:dyDescent="0.3">
      <c r="A5" t="s">
        <v>32</v>
      </c>
      <c r="B5">
        <v>62.5</v>
      </c>
      <c r="C5">
        <v>3200</v>
      </c>
      <c r="D5">
        <v>7.75</v>
      </c>
      <c r="E5">
        <v>0.81200000000000006</v>
      </c>
      <c r="F5">
        <v>18</v>
      </c>
      <c r="G5">
        <v>0.3</v>
      </c>
      <c r="H5">
        <v>6.1</v>
      </c>
      <c r="I5">
        <v>11</v>
      </c>
      <c r="J5">
        <v>1.52</v>
      </c>
      <c r="K5">
        <v>15</v>
      </c>
      <c r="L5">
        <v>2.1</v>
      </c>
      <c r="M5">
        <v>26.2</v>
      </c>
      <c r="N5">
        <v>10</v>
      </c>
      <c r="O5">
        <v>23.2</v>
      </c>
      <c r="P5">
        <v>38</v>
      </c>
      <c r="Q5">
        <v>43.1</v>
      </c>
      <c r="R5">
        <v>43.9</v>
      </c>
      <c r="S5">
        <v>10.199999999999999</v>
      </c>
      <c r="T5">
        <v>2.8</v>
      </c>
      <c r="U5">
        <v>0.8</v>
      </c>
      <c r="V5">
        <v>8.5</v>
      </c>
      <c r="W5">
        <v>1.6</v>
      </c>
      <c r="X5">
        <v>20</v>
      </c>
      <c r="Y5">
        <v>11</v>
      </c>
      <c r="Z5">
        <v>1.5</v>
      </c>
      <c r="AA5">
        <v>2</v>
      </c>
      <c r="AB5">
        <f t="shared" si="0"/>
        <v>42.761083743842363</v>
      </c>
      <c r="AC5">
        <f t="shared" si="1"/>
        <v>7.7454534188431392</v>
      </c>
      <c r="AD5">
        <f t="shared" si="2"/>
        <v>1.0152342811837767</v>
      </c>
    </row>
    <row r="6" spans="1:30" x14ac:dyDescent="0.3">
      <c r="A6" t="s">
        <v>33</v>
      </c>
      <c r="B6">
        <v>58.588999999999999</v>
      </c>
      <c r="C6">
        <v>13300</v>
      </c>
      <c r="D6">
        <v>7.3</v>
      </c>
      <c r="E6">
        <v>0.86199999999999999</v>
      </c>
      <c r="F6">
        <v>15</v>
      </c>
      <c r="G6">
        <v>1.85</v>
      </c>
      <c r="H6">
        <v>3.5</v>
      </c>
      <c r="I6">
        <v>5</v>
      </c>
      <c r="J6">
        <v>4</v>
      </c>
      <c r="K6">
        <v>18</v>
      </c>
      <c r="L6">
        <v>1.3</v>
      </c>
      <c r="M6">
        <v>12</v>
      </c>
      <c r="N6">
        <v>8.1999999999999993</v>
      </c>
      <c r="O6">
        <v>19</v>
      </c>
      <c r="P6">
        <v>59</v>
      </c>
      <c r="Q6">
        <v>38.700000000000003</v>
      </c>
      <c r="R6">
        <v>47.3</v>
      </c>
      <c r="S6">
        <v>12.3</v>
      </c>
      <c r="T6">
        <v>1.7</v>
      </c>
      <c r="U6">
        <v>2.5</v>
      </c>
      <c r="V6">
        <v>4.5</v>
      </c>
      <c r="W6">
        <v>1.5</v>
      </c>
      <c r="X6">
        <v>43</v>
      </c>
      <c r="Y6">
        <v>13.75</v>
      </c>
      <c r="Z6">
        <v>0.5</v>
      </c>
      <c r="AA6">
        <v>2</v>
      </c>
      <c r="AB6">
        <f t="shared" si="0"/>
        <v>32.653132250580057</v>
      </c>
      <c r="AC6">
        <f t="shared" si="1"/>
        <v>7.2961811787710316</v>
      </c>
      <c r="AD6">
        <f t="shared" si="2"/>
        <v>1.0763178952438337</v>
      </c>
    </row>
    <row r="7" spans="1:30" x14ac:dyDescent="0.3">
      <c r="A7" t="s">
        <v>4</v>
      </c>
      <c r="B7">
        <v>63.415999999999997</v>
      </c>
      <c r="C7">
        <v>7100</v>
      </c>
      <c r="D7">
        <v>7.22</v>
      </c>
      <c r="E7">
        <v>0.872</v>
      </c>
      <c r="F7">
        <v>38</v>
      </c>
      <c r="G7">
        <v>2.8</v>
      </c>
      <c r="H7">
        <v>1.8</v>
      </c>
      <c r="I7">
        <v>14</v>
      </c>
      <c r="J7">
        <v>5.8</v>
      </c>
      <c r="K7">
        <v>40</v>
      </c>
      <c r="L7">
        <v>1.3</v>
      </c>
      <c r="M7">
        <v>18</v>
      </c>
      <c r="N7">
        <v>9</v>
      </c>
      <c r="O7">
        <v>13</v>
      </c>
      <c r="P7">
        <v>58.2</v>
      </c>
      <c r="Q7">
        <v>36.4</v>
      </c>
      <c r="R7">
        <v>47.7</v>
      </c>
      <c r="S7">
        <v>12.9</v>
      </c>
      <c r="T7">
        <v>3</v>
      </c>
      <c r="U7">
        <v>3.45</v>
      </c>
      <c r="V7">
        <v>2.2999999999999998</v>
      </c>
      <c r="W7">
        <v>2.5</v>
      </c>
      <c r="X7">
        <v>62</v>
      </c>
      <c r="Y7">
        <v>22</v>
      </c>
      <c r="Z7">
        <v>0.5</v>
      </c>
      <c r="AA7">
        <v>2</v>
      </c>
      <c r="AB7">
        <f t="shared" si="0"/>
        <v>30.770642201834875</v>
      </c>
      <c r="AC7">
        <f t="shared" si="1"/>
        <v>7.2125093762621892</v>
      </c>
      <c r="AD7">
        <f t="shared" si="2"/>
        <v>1.3106765793874944</v>
      </c>
    </row>
    <row r="8" spans="1:30" x14ac:dyDescent="0.3">
      <c r="A8" t="s">
        <v>5</v>
      </c>
      <c r="B8">
        <v>63.753999999999998</v>
      </c>
      <c r="C8">
        <v>3700</v>
      </c>
      <c r="D8">
        <v>7.29</v>
      </c>
      <c r="E8">
        <v>0.86199999999999999</v>
      </c>
      <c r="F8">
        <v>20</v>
      </c>
      <c r="G8">
        <v>1.1000000000000001</v>
      </c>
      <c r="H8">
        <v>6.3</v>
      </c>
      <c r="I8">
        <v>16</v>
      </c>
      <c r="J8">
        <v>4.04</v>
      </c>
      <c r="K8">
        <v>32</v>
      </c>
      <c r="L8">
        <v>1.8</v>
      </c>
      <c r="M8">
        <v>16.2</v>
      </c>
      <c r="N8">
        <v>11</v>
      </c>
      <c r="O8">
        <v>19.5</v>
      </c>
      <c r="P8">
        <v>51</v>
      </c>
      <c r="Q8">
        <v>41.5</v>
      </c>
      <c r="R8">
        <v>46.5</v>
      </c>
      <c r="S8">
        <v>8.8000000000000007</v>
      </c>
      <c r="T8">
        <v>3.3</v>
      </c>
      <c r="U8">
        <v>3.4</v>
      </c>
      <c r="V8">
        <v>7.4</v>
      </c>
      <c r="W8">
        <v>1.9</v>
      </c>
      <c r="X8">
        <v>11</v>
      </c>
      <c r="Y8">
        <v>4</v>
      </c>
      <c r="Z8">
        <v>0.8</v>
      </c>
      <c r="AA8">
        <v>2</v>
      </c>
      <c r="AB8">
        <f t="shared" si="0"/>
        <v>32.653132250580057</v>
      </c>
      <c r="AC8">
        <f t="shared" si="1"/>
        <v>7.2961811787710316</v>
      </c>
      <c r="AD8">
        <f t="shared" si="2"/>
        <v>1.2500245124564222</v>
      </c>
    </row>
    <row r="9" spans="1:30" x14ac:dyDescent="0.3">
      <c r="A9" t="s">
        <v>6</v>
      </c>
      <c r="B9">
        <v>59.795000000000002</v>
      </c>
      <c r="C9">
        <v>6300</v>
      </c>
      <c r="D9">
        <v>7.19</v>
      </c>
      <c r="E9">
        <v>0.875</v>
      </c>
      <c r="F9">
        <v>14</v>
      </c>
      <c r="G9">
        <v>2.6</v>
      </c>
      <c r="H9">
        <v>3.9</v>
      </c>
      <c r="I9">
        <v>11.2</v>
      </c>
      <c r="J9">
        <v>6.33</v>
      </c>
      <c r="K9">
        <v>29</v>
      </c>
      <c r="L9">
        <v>1.1000000000000001</v>
      </c>
      <c r="M9">
        <v>12.4</v>
      </c>
      <c r="N9">
        <v>10</v>
      </c>
      <c r="O9">
        <v>18</v>
      </c>
      <c r="P9">
        <v>58</v>
      </c>
      <c r="Q9">
        <v>40.1</v>
      </c>
      <c r="R9">
        <v>44.5</v>
      </c>
      <c r="S9">
        <v>11.8</v>
      </c>
      <c r="T9">
        <v>3.6</v>
      </c>
      <c r="U9">
        <v>3.2</v>
      </c>
      <c r="V9">
        <v>5.3</v>
      </c>
      <c r="W9">
        <v>5</v>
      </c>
      <c r="X9">
        <v>66</v>
      </c>
      <c r="Y9">
        <v>19</v>
      </c>
      <c r="Z9">
        <v>0.5</v>
      </c>
      <c r="AA9">
        <v>2</v>
      </c>
      <c r="AB9">
        <f t="shared" si="0"/>
        <v>30.214285714285722</v>
      </c>
      <c r="AC9">
        <f t="shared" si="1"/>
        <v>7.1877807726864331</v>
      </c>
      <c r="AD9">
        <f t="shared" si="2"/>
        <v>1.2221589474362422</v>
      </c>
    </row>
    <row r="10" spans="1:30" x14ac:dyDescent="0.3">
      <c r="A10" t="s">
        <v>7</v>
      </c>
      <c r="B10">
        <v>58.752000000000002</v>
      </c>
      <c r="C10">
        <v>1300</v>
      </c>
      <c r="D10">
        <v>8.1999999999999993</v>
      </c>
      <c r="E10">
        <v>0.76700000000000002</v>
      </c>
      <c r="F10">
        <v>9</v>
      </c>
      <c r="G10">
        <v>0.5</v>
      </c>
      <c r="H10">
        <v>6.2</v>
      </c>
      <c r="I10">
        <v>8</v>
      </c>
      <c r="J10">
        <v>0.06</v>
      </c>
      <c r="K10">
        <v>8</v>
      </c>
      <c r="L10">
        <v>3</v>
      </c>
      <c r="M10">
        <v>52</v>
      </c>
      <c r="N10">
        <v>14</v>
      </c>
      <c r="O10">
        <v>22</v>
      </c>
      <c r="P10">
        <v>8.5</v>
      </c>
      <c r="Q10">
        <v>45.5</v>
      </c>
      <c r="R10">
        <v>50.5</v>
      </c>
      <c r="S10">
        <v>3.9</v>
      </c>
      <c r="T10">
        <v>0.1</v>
      </c>
      <c r="U10">
        <v>0.2</v>
      </c>
      <c r="V10">
        <v>7.8</v>
      </c>
      <c r="W10">
        <v>0.5</v>
      </c>
      <c r="X10">
        <v>9</v>
      </c>
      <c r="Y10">
        <v>6</v>
      </c>
      <c r="Z10">
        <v>0.5</v>
      </c>
      <c r="AA10">
        <v>2</v>
      </c>
      <c r="AB10">
        <f t="shared" si="0"/>
        <v>52.985006518904811</v>
      </c>
      <c r="AC10">
        <f t="shared" si="1"/>
        <v>8.1998802817478857</v>
      </c>
      <c r="AD10">
        <f t="shared" si="2"/>
        <v>0.77691450698315634</v>
      </c>
    </row>
    <row r="11" spans="1:30" x14ac:dyDescent="0.3">
      <c r="A11" t="s">
        <v>34</v>
      </c>
      <c r="B11">
        <v>58.933999999999997</v>
      </c>
      <c r="C11">
        <v>2600</v>
      </c>
      <c r="D11">
        <v>7.12</v>
      </c>
      <c r="E11">
        <v>0.88300000000000001</v>
      </c>
      <c r="F11">
        <v>12.8</v>
      </c>
      <c r="G11">
        <v>1.63</v>
      </c>
      <c r="H11">
        <v>2.2000000000000002</v>
      </c>
      <c r="I11">
        <v>12</v>
      </c>
      <c r="J11">
        <v>5.6</v>
      </c>
      <c r="K11">
        <v>20</v>
      </c>
      <c r="L11">
        <v>0.8</v>
      </c>
      <c r="M11">
        <v>12</v>
      </c>
      <c r="N11">
        <v>14.2</v>
      </c>
      <c r="O11">
        <v>18</v>
      </c>
      <c r="P11">
        <v>54.5</v>
      </c>
      <c r="Q11">
        <v>33.6</v>
      </c>
      <c r="R11">
        <v>46.2</v>
      </c>
      <c r="S11">
        <v>17.5</v>
      </c>
      <c r="T11">
        <v>2.7</v>
      </c>
      <c r="U11">
        <v>2.57</v>
      </c>
      <c r="V11">
        <v>4.2</v>
      </c>
      <c r="W11">
        <v>5.0999999999999996</v>
      </c>
      <c r="X11">
        <v>100</v>
      </c>
      <c r="Y11">
        <v>75</v>
      </c>
      <c r="Z11">
        <v>0.5</v>
      </c>
      <c r="AA11">
        <v>2</v>
      </c>
      <c r="AB11">
        <f t="shared" si="0"/>
        <v>28.749150622876556</v>
      </c>
      <c r="AC11">
        <f t="shared" si="1"/>
        <v>7.1226593160822533</v>
      </c>
      <c r="AD11">
        <f t="shared" si="2"/>
        <v>1.1101959340149679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136C3-D5E6-4499-8502-E32B62D1CDFA}">
  <dimension ref="A1:B9"/>
  <sheetViews>
    <sheetView workbookViewId="0">
      <selection activeCell="B29" sqref="B29"/>
    </sheetView>
  </sheetViews>
  <sheetFormatPr defaultRowHeight="14.4" x14ac:dyDescent="0.3"/>
  <sheetData>
    <row r="1" spans="1:2" x14ac:dyDescent="0.3">
      <c r="A1" t="s">
        <v>35</v>
      </c>
      <c r="B1" t="s">
        <v>0</v>
      </c>
    </row>
    <row r="2" spans="1:2" x14ac:dyDescent="0.3">
      <c r="A2" t="s">
        <v>18</v>
      </c>
      <c r="B2">
        <v>543</v>
      </c>
    </row>
    <row r="3" spans="1:2" x14ac:dyDescent="0.3">
      <c r="A3" t="s">
        <v>36</v>
      </c>
      <c r="B3">
        <v>510</v>
      </c>
    </row>
    <row r="4" spans="1:2" x14ac:dyDescent="0.3">
      <c r="A4" t="s">
        <v>37</v>
      </c>
      <c r="B4">
        <v>550</v>
      </c>
    </row>
    <row r="5" spans="1:2" x14ac:dyDescent="0.3">
      <c r="A5" t="s">
        <v>42</v>
      </c>
      <c r="B5">
        <v>580</v>
      </c>
    </row>
    <row r="6" spans="1:2" x14ac:dyDescent="0.3">
      <c r="A6" t="s">
        <v>38</v>
      </c>
      <c r="B6">
        <v>590</v>
      </c>
    </row>
    <row r="7" spans="1:2" x14ac:dyDescent="0.3">
      <c r="A7" t="s">
        <v>39</v>
      </c>
      <c r="B7">
        <v>512</v>
      </c>
    </row>
    <row r="8" spans="1:2" x14ac:dyDescent="0.3">
      <c r="A8" t="s">
        <v>40</v>
      </c>
      <c r="B8">
        <v>500</v>
      </c>
    </row>
    <row r="9" spans="1:2" x14ac:dyDescent="0.3">
      <c r="A9" t="s">
        <v>41</v>
      </c>
      <c r="B9">
        <v>380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04386-8054-44C6-B6F2-56AC702F948C}">
  <dimension ref="A1:B9"/>
  <sheetViews>
    <sheetView workbookViewId="0">
      <selection activeCell="C1" sqref="C1:C7"/>
    </sheetView>
  </sheetViews>
  <sheetFormatPr defaultRowHeight="14.4" x14ac:dyDescent="0.3"/>
  <sheetData>
    <row r="1" spans="1:2" x14ac:dyDescent="0.3">
      <c r="A1" t="s">
        <v>35</v>
      </c>
      <c r="B1" t="s">
        <v>0</v>
      </c>
    </row>
    <row r="2" spans="1:2" x14ac:dyDescent="0.3">
      <c r="A2" t="s">
        <v>53</v>
      </c>
      <c r="B2">
        <v>543</v>
      </c>
    </row>
    <row r="3" spans="1:2" x14ac:dyDescent="0.3">
      <c r="A3" t="s">
        <v>54</v>
      </c>
      <c r="B3">
        <v>510</v>
      </c>
    </row>
    <row r="4" spans="1:2" x14ac:dyDescent="0.3">
      <c r="A4" t="s">
        <v>37</v>
      </c>
      <c r="B4">
        <v>550</v>
      </c>
    </row>
    <row r="5" spans="1:2" x14ac:dyDescent="0.3">
      <c r="A5" t="s">
        <v>42</v>
      </c>
      <c r="B5">
        <v>580</v>
      </c>
    </row>
    <row r="6" spans="1:2" x14ac:dyDescent="0.3">
      <c r="A6" t="s">
        <v>38</v>
      </c>
      <c r="B6">
        <v>590</v>
      </c>
    </row>
    <row r="7" spans="1:2" x14ac:dyDescent="0.3">
      <c r="A7" t="s">
        <v>55</v>
      </c>
      <c r="B7">
        <v>512</v>
      </c>
    </row>
    <row r="8" spans="1:2" x14ac:dyDescent="0.3">
      <c r="A8" t="s">
        <v>56</v>
      </c>
      <c r="B8">
        <v>500</v>
      </c>
    </row>
    <row r="9" spans="1:2" x14ac:dyDescent="0.3">
      <c r="A9" t="s">
        <v>57</v>
      </c>
      <c r="B9">
        <v>380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9047C-D2DB-40C9-82FC-3B584FF025A7}">
  <dimension ref="A1:AD11"/>
  <sheetViews>
    <sheetView topLeftCell="J1" workbookViewId="0">
      <selection activeCell="K29" sqref="K29"/>
    </sheetView>
  </sheetViews>
  <sheetFormatPr defaultRowHeight="14.4" x14ac:dyDescent="0.3"/>
  <sheetData>
    <row r="1" spans="1:30" x14ac:dyDescent="0.3">
      <c r="A1" t="s">
        <v>8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64</v>
      </c>
      <c r="X1" t="s">
        <v>65</v>
      </c>
      <c r="Y1" t="s">
        <v>66</v>
      </c>
      <c r="Z1" t="s">
        <v>70</v>
      </c>
      <c r="AA1" t="s">
        <v>69</v>
      </c>
      <c r="AB1" t="s">
        <v>71</v>
      </c>
      <c r="AC1" t="s">
        <v>72</v>
      </c>
      <c r="AD1" t="s">
        <v>73</v>
      </c>
    </row>
    <row r="2" spans="1:30" x14ac:dyDescent="0.3">
      <c r="A2" t="s">
        <v>1</v>
      </c>
      <c r="B2">
        <v>58.857999999999997</v>
      </c>
      <c r="C2">
        <v>3700</v>
      </c>
      <c r="D2">
        <v>6.8</v>
      </c>
      <c r="E2">
        <v>0.92500000000000004</v>
      </c>
      <c r="F2">
        <v>42</v>
      </c>
      <c r="G2">
        <v>2.85</v>
      </c>
      <c r="H2">
        <v>3.72</v>
      </c>
      <c r="I2">
        <v>13</v>
      </c>
      <c r="J2">
        <v>11.8</v>
      </c>
      <c r="K2">
        <v>121</v>
      </c>
      <c r="L2">
        <v>0.5</v>
      </c>
      <c r="M2">
        <v>8</v>
      </c>
      <c r="N2">
        <v>9</v>
      </c>
      <c r="O2">
        <v>10</v>
      </c>
      <c r="P2">
        <v>72</v>
      </c>
      <c r="Q2">
        <v>30.9</v>
      </c>
      <c r="R2">
        <v>37.9</v>
      </c>
      <c r="S2">
        <v>22.6</v>
      </c>
      <c r="T2">
        <v>8.6</v>
      </c>
      <c r="U2">
        <v>3.77</v>
      </c>
      <c r="V2">
        <v>3.77</v>
      </c>
      <c r="W2">
        <v>14.7</v>
      </c>
      <c r="X2">
        <v>152</v>
      </c>
      <c r="Y2">
        <v>131</v>
      </c>
      <c r="Z2">
        <v>0.5</v>
      </c>
      <c r="AA2">
        <v>2</v>
      </c>
      <c r="AB2">
        <f>(141.5/E2)-131.5</f>
        <v>21.472972972972968</v>
      </c>
      <c r="AC2">
        <f>1000/(159*E2)</f>
        <v>6.7992520822709492</v>
      </c>
      <c r="AD2">
        <f>LN(LN(K2+0.8))</f>
        <v>1.5691117023415568</v>
      </c>
    </row>
    <row r="3" spans="1:30" x14ac:dyDescent="0.3">
      <c r="A3" t="s">
        <v>2</v>
      </c>
      <c r="B3">
        <v>61.865000000000002</v>
      </c>
      <c r="C3">
        <v>3800</v>
      </c>
      <c r="D3">
        <v>7.16</v>
      </c>
      <c r="E3">
        <v>0.878</v>
      </c>
      <c r="F3">
        <v>33</v>
      </c>
      <c r="G3">
        <v>2</v>
      </c>
      <c r="H3">
        <v>2.92</v>
      </c>
      <c r="I3">
        <v>5.7</v>
      </c>
      <c r="J3">
        <v>6.24</v>
      </c>
      <c r="K3">
        <v>35</v>
      </c>
      <c r="L3">
        <v>1.2</v>
      </c>
      <c r="M3">
        <v>12.3</v>
      </c>
      <c r="N3">
        <v>8</v>
      </c>
      <c r="O3">
        <v>11</v>
      </c>
      <c r="P3">
        <v>67</v>
      </c>
      <c r="Q3">
        <v>36.700000000000003</v>
      </c>
      <c r="R3">
        <v>47.5</v>
      </c>
      <c r="S3">
        <v>12.2</v>
      </c>
      <c r="T3">
        <v>3.6</v>
      </c>
      <c r="U3">
        <v>3.1</v>
      </c>
      <c r="V3">
        <v>3.9</v>
      </c>
      <c r="W3">
        <v>4.9000000000000004</v>
      </c>
      <c r="X3">
        <v>100</v>
      </c>
      <c r="Y3">
        <v>73</v>
      </c>
      <c r="Z3">
        <v>0.5</v>
      </c>
      <c r="AA3">
        <v>2</v>
      </c>
      <c r="AB3">
        <f t="shared" ref="AB3:AB11" si="0">(141.5/E3)-131.5</f>
        <v>29.661731207289307</v>
      </c>
      <c r="AC3">
        <f t="shared" ref="AC3:AC11" si="1">1000/(159*E3)</f>
        <v>7.1632211572900104</v>
      </c>
      <c r="AD3">
        <f t="shared" ref="AD3:AD11" si="2">LN(LN(K3+0.8))</f>
        <v>1.2747894219303606</v>
      </c>
    </row>
    <row r="4" spans="1:30" x14ac:dyDescent="0.3">
      <c r="A4" t="s">
        <v>3</v>
      </c>
      <c r="B4">
        <v>60.914000000000001</v>
      </c>
      <c r="C4">
        <v>11300</v>
      </c>
      <c r="D4">
        <v>7.22</v>
      </c>
      <c r="E4">
        <v>0.871</v>
      </c>
      <c r="F4">
        <v>28</v>
      </c>
      <c r="G4">
        <v>1.61</v>
      </c>
      <c r="H4">
        <v>3.8</v>
      </c>
      <c r="I4">
        <v>7</v>
      </c>
      <c r="J4">
        <v>5.2</v>
      </c>
      <c r="K4">
        <v>30</v>
      </c>
      <c r="L4">
        <v>0.9</v>
      </c>
      <c r="M4">
        <v>15.5</v>
      </c>
      <c r="N4">
        <v>9</v>
      </c>
      <c r="O4">
        <v>13.1</v>
      </c>
      <c r="P4">
        <v>61</v>
      </c>
      <c r="Q4">
        <v>39.299999999999997</v>
      </c>
      <c r="R4">
        <v>50.2</v>
      </c>
      <c r="S4">
        <v>8.4</v>
      </c>
      <c r="T4">
        <v>2.1</v>
      </c>
      <c r="U4">
        <v>2.4</v>
      </c>
      <c r="V4">
        <v>4.8</v>
      </c>
      <c r="W4">
        <v>2.9</v>
      </c>
      <c r="X4">
        <v>76</v>
      </c>
      <c r="Y4">
        <v>40</v>
      </c>
      <c r="Z4">
        <v>0.5</v>
      </c>
      <c r="AA4">
        <v>2</v>
      </c>
      <c r="AB4">
        <f t="shared" si="0"/>
        <v>30.956946039035586</v>
      </c>
      <c r="AC4">
        <f t="shared" si="1"/>
        <v>7.2207900988526159</v>
      </c>
      <c r="AD4">
        <f t="shared" si="2"/>
        <v>1.2318354183618594</v>
      </c>
    </row>
    <row r="5" spans="1:30" x14ac:dyDescent="0.3">
      <c r="A5" t="s">
        <v>32</v>
      </c>
      <c r="B5">
        <v>62.5</v>
      </c>
      <c r="C5">
        <v>3200</v>
      </c>
      <c r="D5">
        <v>7.75</v>
      </c>
      <c r="E5">
        <v>0.81200000000000006</v>
      </c>
      <c r="F5">
        <v>18</v>
      </c>
      <c r="G5">
        <v>0.3</v>
      </c>
      <c r="H5">
        <v>6.1</v>
      </c>
      <c r="I5">
        <v>11</v>
      </c>
      <c r="J5">
        <v>1.52</v>
      </c>
      <c r="K5">
        <v>15</v>
      </c>
      <c r="L5">
        <v>2.1</v>
      </c>
      <c r="M5">
        <v>26.2</v>
      </c>
      <c r="N5">
        <v>10</v>
      </c>
      <c r="O5">
        <v>23.2</v>
      </c>
      <c r="P5">
        <v>38</v>
      </c>
      <c r="Q5">
        <v>43.1</v>
      </c>
      <c r="R5">
        <v>43.9</v>
      </c>
      <c r="S5">
        <v>10.199999999999999</v>
      </c>
      <c r="T5">
        <v>2.8</v>
      </c>
      <c r="U5">
        <v>0.8</v>
      </c>
      <c r="V5">
        <v>8.5</v>
      </c>
      <c r="W5">
        <v>1.6</v>
      </c>
      <c r="X5">
        <v>20</v>
      </c>
      <c r="Y5">
        <v>11</v>
      </c>
      <c r="Z5">
        <v>1.5</v>
      </c>
      <c r="AA5">
        <v>2</v>
      </c>
      <c r="AB5">
        <f t="shared" si="0"/>
        <v>42.761083743842363</v>
      </c>
      <c r="AC5">
        <f t="shared" si="1"/>
        <v>7.7454534188431392</v>
      </c>
      <c r="AD5">
        <f t="shared" si="2"/>
        <v>1.0152342811837767</v>
      </c>
    </row>
    <row r="6" spans="1:30" x14ac:dyDescent="0.3">
      <c r="A6" t="s">
        <v>33</v>
      </c>
      <c r="B6">
        <v>58.588999999999999</v>
      </c>
      <c r="C6">
        <v>13300</v>
      </c>
      <c r="D6">
        <v>7.3</v>
      </c>
      <c r="E6">
        <v>0.86199999999999999</v>
      </c>
      <c r="F6">
        <v>15</v>
      </c>
      <c r="G6">
        <v>1.85</v>
      </c>
      <c r="H6">
        <v>3.5</v>
      </c>
      <c r="I6">
        <v>5</v>
      </c>
      <c r="J6">
        <v>4</v>
      </c>
      <c r="K6">
        <v>18</v>
      </c>
      <c r="L6">
        <v>1.3</v>
      </c>
      <c r="M6">
        <v>12</v>
      </c>
      <c r="N6">
        <v>8.1999999999999993</v>
      </c>
      <c r="O6">
        <v>19</v>
      </c>
      <c r="P6">
        <v>59</v>
      </c>
      <c r="Q6">
        <v>38.700000000000003</v>
      </c>
      <c r="R6">
        <v>47.3</v>
      </c>
      <c r="S6">
        <v>12.3</v>
      </c>
      <c r="T6">
        <v>1.7</v>
      </c>
      <c r="U6">
        <v>2.5</v>
      </c>
      <c r="V6">
        <v>4.5</v>
      </c>
      <c r="W6">
        <v>1.5</v>
      </c>
      <c r="X6">
        <v>43</v>
      </c>
      <c r="Y6">
        <v>13.75</v>
      </c>
      <c r="Z6">
        <v>0.5</v>
      </c>
      <c r="AA6">
        <v>2</v>
      </c>
      <c r="AB6">
        <f t="shared" si="0"/>
        <v>32.653132250580057</v>
      </c>
      <c r="AC6">
        <f t="shared" si="1"/>
        <v>7.2961811787710316</v>
      </c>
      <c r="AD6">
        <f t="shared" si="2"/>
        <v>1.0763178952438337</v>
      </c>
    </row>
    <row r="7" spans="1:30" x14ac:dyDescent="0.3">
      <c r="A7" t="s">
        <v>4</v>
      </c>
      <c r="B7">
        <v>63.415999999999997</v>
      </c>
      <c r="C7">
        <v>7100</v>
      </c>
      <c r="D7">
        <v>7.22</v>
      </c>
      <c r="E7">
        <v>0.872</v>
      </c>
      <c r="F7">
        <v>38</v>
      </c>
      <c r="G7">
        <v>2.8</v>
      </c>
      <c r="H7">
        <v>1.8</v>
      </c>
      <c r="I7">
        <v>14</v>
      </c>
      <c r="J7">
        <v>5.8</v>
      </c>
      <c r="K7">
        <v>40</v>
      </c>
      <c r="L7">
        <v>1.3</v>
      </c>
      <c r="M7">
        <v>18</v>
      </c>
      <c r="N7">
        <v>9</v>
      </c>
      <c r="O7">
        <v>13</v>
      </c>
      <c r="P7">
        <v>58.2</v>
      </c>
      <c r="Q7">
        <v>36.4</v>
      </c>
      <c r="R7">
        <v>47.7</v>
      </c>
      <c r="S7">
        <v>12.9</v>
      </c>
      <c r="T7">
        <v>3</v>
      </c>
      <c r="U7">
        <v>3.45</v>
      </c>
      <c r="V7">
        <v>2.2999999999999998</v>
      </c>
      <c r="W7">
        <v>2.5</v>
      </c>
      <c r="X7">
        <v>62</v>
      </c>
      <c r="Y7">
        <v>22</v>
      </c>
      <c r="Z7">
        <v>0.5</v>
      </c>
      <c r="AA7">
        <v>2</v>
      </c>
      <c r="AB7">
        <f t="shared" si="0"/>
        <v>30.770642201834875</v>
      </c>
      <c r="AC7">
        <f t="shared" si="1"/>
        <v>7.2125093762621892</v>
      </c>
      <c r="AD7">
        <f t="shared" si="2"/>
        <v>1.3106765793874944</v>
      </c>
    </row>
    <row r="8" spans="1:30" x14ac:dyDescent="0.3">
      <c r="A8" t="s">
        <v>5</v>
      </c>
      <c r="B8">
        <v>63.753999999999998</v>
      </c>
      <c r="C8">
        <v>3700</v>
      </c>
      <c r="D8">
        <v>7.29</v>
      </c>
      <c r="E8">
        <v>0.86199999999999999</v>
      </c>
      <c r="F8">
        <v>20</v>
      </c>
      <c r="G8">
        <v>1.1000000000000001</v>
      </c>
      <c r="H8">
        <v>6.3</v>
      </c>
      <c r="I8">
        <v>16</v>
      </c>
      <c r="J8">
        <v>4.04</v>
      </c>
      <c r="K8">
        <v>32</v>
      </c>
      <c r="L8">
        <v>1.8</v>
      </c>
      <c r="M8">
        <v>16.2</v>
      </c>
      <c r="N8">
        <v>11</v>
      </c>
      <c r="O8">
        <v>19.5</v>
      </c>
      <c r="P8">
        <v>51</v>
      </c>
      <c r="Q8">
        <v>41.5</v>
      </c>
      <c r="R8">
        <v>46.5</v>
      </c>
      <c r="S8">
        <v>8.8000000000000007</v>
      </c>
      <c r="T8">
        <v>3.3</v>
      </c>
      <c r="U8">
        <v>3.4</v>
      </c>
      <c r="V8">
        <v>7.4</v>
      </c>
      <c r="W8">
        <v>1.9</v>
      </c>
      <c r="X8">
        <v>11</v>
      </c>
      <c r="Y8">
        <v>4</v>
      </c>
      <c r="Z8">
        <v>0.8</v>
      </c>
      <c r="AA8">
        <v>2</v>
      </c>
      <c r="AB8">
        <f t="shared" si="0"/>
        <v>32.653132250580057</v>
      </c>
      <c r="AC8">
        <f t="shared" si="1"/>
        <v>7.2961811787710316</v>
      </c>
      <c r="AD8">
        <f t="shared" si="2"/>
        <v>1.2500245124564222</v>
      </c>
    </row>
    <row r="9" spans="1:30" x14ac:dyDescent="0.3">
      <c r="A9" t="s">
        <v>6</v>
      </c>
      <c r="B9">
        <v>59.795000000000002</v>
      </c>
      <c r="C9">
        <v>6300</v>
      </c>
      <c r="D9">
        <v>7.19</v>
      </c>
      <c r="E9">
        <v>0.875</v>
      </c>
      <c r="F9">
        <v>14</v>
      </c>
      <c r="G9">
        <v>2.6</v>
      </c>
      <c r="H9">
        <v>3.9</v>
      </c>
      <c r="I9">
        <v>11.2</v>
      </c>
      <c r="J9">
        <v>6.33</v>
      </c>
      <c r="K9">
        <v>29</v>
      </c>
      <c r="L9">
        <v>1.1000000000000001</v>
      </c>
      <c r="M9">
        <v>12.4</v>
      </c>
      <c r="N9">
        <v>10</v>
      </c>
      <c r="O9">
        <v>18</v>
      </c>
      <c r="P9">
        <v>58</v>
      </c>
      <c r="Q9">
        <v>40.1</v>
      </c>
      <c r="R9">
        <v>44.5</v>
      </c>
      <c r="S9">
        <v>11.8</v>
      </c>
      <c r="T9">
        <v>3.6</v>
      </c>
      <c r="U9">
        <v>3.2</v>
      </c>
      <c r="V9">
        <v>5.3</v>
      </c>
      <c r="W9">
        <v>5</v>
      </c>
      <c r="X9">
        <v>66</v>
      </c>
      <c r="Y9">
        <v>19</v>
      </c>
      <c r="Z9">
        <v>0.5</v>
      </c>
      <c r="AA9">
        <v>2</v>
      </c>
      <c r="AB9">
        <f t="shared" si="0"/>
        <v>30.214285714285722</v>
      </c>
      <c r="AC9">
        <f t="shared" si="1"/>
        <v>7.1877807726864331</v>
      </c>
      <c r="AD9">
        <f t="shared" si="2"/>
        <v>1.2221589474362422</v>
      </c>
    </row>
    <row r="10" spans="1:30" x14ac:dyDescent="0.3">
      <c r="A10" t="s">
        <v>7</v>
      </c>
      <c r="B10">
        <v>58.752000000000002</v>
      </c>
      <c r="C10">
        <v>1300</v>
      </c>
      <c r="D10">
        <v>8.1999999999999993</v>
      </c>
      <c r="E10">
        <v>0.76700000000000002</v>
      </c>
      <c r="F10">
        <v>9</v>
      </c>
      <c r="G10">
        <v>0.5</v>
      </c>
      <c r="H10">
        <v>6.2</v>
      </c>
      <c r="I10">
        <v>8</v>
      </c>
      <c r="J10">
        <v>0.06</v>
      </c>
      <c r="K10">
        <v>8</v>
      </c>
      <c r="L10">
        <v>3</v>
      </c>
      <c r="M10">
        <v>52</v>
      </c>
      <c r="N10">
        <v>14</v>
      </c>
      <c r="O10">
        <v>22</v>
      </c>
      <c r="P10">
        <v>8.5</v>
      </c>
      <c r="Q10">
        <v>45.5</v>
      </c>
      <c r="R10">
        <v>50.5</v>
      </c>
      <c r="S10">
        <v>3.9</v>
      </c>
      <c r="T10">
        <v>0.1</v>
      </c>
      <c r="U10">
        <v>0.2</v>
      </c>
      <c r="V10">
        <v>7.8</v>
      </c>
      <c r="W10">
        <v>0.5</v>
      </c>
      <c r="X10">
        <v>9</v>
      </c>
      <c r="Y10">
        <v>6</v>
      </c>
      <c r="Z10">
        <v>0.5</v>
      </c>
      <c r="AA10">
        <v>2</v>
      </c>
      <c r="AB10">
        <f t="shared" si="0"/>
        <v>52.985006518904811</v>
      </c>
      <c r="AC10">
        <f t="shared" si="1"/>
        <v>8.1998802817478857</v>
      </c>
      <c r="AD10">
        <f t="shared" si="2"/>
        <v>0.77691450698315634</v>
      </c>
    </row>
    <row r="11" spans="1:30" x14ac:dyDescent="0.3">
      <c r="A11" t="s">
        <v>34</v>
      </c>
      <c r="B11">
        <v>58.933999999999997</v>
      </c>
      <c r="C11">
        <v>2600</v>
      </c>
      <c r="D11">
        <v>7.12</v>
      </c>
      <c r="E11">
        <v>0.88300000000000001</v>
      </c>
      <c r="F11">
        <v>12.8</v>
      </c>
      <c r="G11">
        <v>1.63</v>
      </c>
      <c r="H11">
        <v>2.2000000000000002</v>
      </c>
      <c r="I11">
        <v>12</v>
      </c>
      <c r="J11">
        <v>5.6</v>
      </c>
      <c r="K11">
        <v>20</v>
      </c>
      <c r="L11">
        <v>0.8</v>
      </c>
      <c r="M11">
        <v>12</v>
      </c>
      <c r="N11">
        <v>14.2</v>
      </c>
      <c r="O11">
        <v>18</v>
      </c>
      <c r="P11">
        <v>54.5</v>
      </c>
      <c r="Q11">
        <v>33.6</v>
      </c>
      <c r="R11">
        <v>46.2</v>
      </c>
      <c r="S11">
        <v>17.5</v>
      </c>
      <c r="T11">
        <v>2.7</v>
      </c>
      <c r="U11">
        <v>2.57</v>
      </c>
      <c r="V11">
        <v>4.2</v>
      </c>
      <c r="W11">
        <v>5.0999999999999996</v>
      </c>
      <c r="X11">
        <v>100</v>
      </c>
      <c r="Y11">
        <v>75</v>
      </c>
      <c r="Z11">
        <v>0.5</v>
      </c>
      <c r="AA11">
        <v>2</v>
      </c>
      <c r="AB11">
        <f t="shared" si="0"/>
        <v>28.749150622876556</v>
      </c>
      <c r="AC11">
        <f t="shared" si="1"/>
        <v>7.1226593160822533</v>
      </c>
      <c r="AD11">
        <f t="shared" si="2"/>
        <v>1.1101959340149679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master_data</vt:lpstr>
      <vt:lpstr>price_data</vt:lpstr>
      <vt:lpstr>indexed_price_data</vt:lpstr>
      <vt:lpstr>indexed_data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Eren Darici</dc:creator>
  <cp:lastModifiedBy>Eren Darici</cp:lastModifiedBy>
  <dcterms:created xsi:type="dcterms:W3CDTF">2026-03-27T18:29:41Z</dcterms:created>
  <dcterms:modified xsi:type="dcterms:W3CDTF">2026-03-27T20:44:04Z</dcterms:modified>
</cp:coreProperties>
</file>